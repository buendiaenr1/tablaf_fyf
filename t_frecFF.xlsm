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1F964FA-3DA7-4300-8598-114ED3679B8C}" xr6:coauthVersionLast="47" xr6:coauthVersionMax="47" xr10:uidLastSave="{00000000-0000-0000-0000-000000000000}"/>
  <bookViews>
    <workbookView xWindow="2688" yWindow="1500" windowWidth="17280" windowHeight="11460" xr2:uid="{37FBD368-BBBD-4CCF-9011-7094107D25E5}"/>
  </bookViews>
  <sheets>
    <sheet name="Hoj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" l="1"/>
  <c r="D22" i="1"/>
  <c r="D24" i="1" s="1"/>
  <c r="D21" i="1"/>
  <c r="D20" i="1"/>
  <c r="P10" i="1"/>
</calcChain>
</file>

<file path=xl/sharedStrings.xml><?xml version="1.0" encoding="utf-8"?>
<sst xmlns="http://schemas.openxmlformats.org/spreadsheetml/2006/main" count="40" uniqueCount="35">
  <si>
    <t>Tabla de frecuencia</t>
  </si>
  <si>
    <t>Enrique Buendia Lozada BUAP2020</t>
  </si>
  <si>
    <t>Cantidad de decimales máximo que tienen los datos</t>
  </si>
  <si>
    <t>Intervalos de clase</t>
  </si>
  <si>
    <t>t</t>
  </si>
  <si>
    <t>f</t>
  </si>
  <si>
    <t>f*</t>
  </si>
  <si>
    <t>F</t>
  </si>
  <si>
    <t>Fractil ? =</t>
  </si>
  <si>
    <t>&gt;&gt;&gt;&gt;&gt;&gt;&gt;&gt;&gt;</t>
  </si>
  <si>
    <t>rango=</t>
  </si>
  <si>
    <t>R=  Fracción</t>
  </si>
  <si>
    <t>%</t>
  </si>
  <si>
    <t>ffractil</t>
  </si>
  <si>
    <t>minimo=</t>
  </si>
  <si>
    <t>c</t>
  </si>
  <si>
    <t>maximo=</t>
  </si>
  <si>
    <t>L1</t>
  </si>
  <si>
    <t>n=</t>
  </si>
  <si>
    <t>n</t>
  </si>
  <si>
    <t>LIIC=</t>
  </si>
  <si>
    <t>Sf1</t>
  </si>
  <si>
    <t>LSIC=</t>
  </si>
  <si>
    <t>fractil</t>
  </si>
  <si>
    <t>ni=</t>
  </si>
  <si>
    <t>aic=</t>
  </si>
  <si>
    <t>Fracción ? =</t>
  </si>
  <si>
    <t>&gt;&gt;&gt;&gt;&gt;&gt;&gt;&gt;</t>
  </si>
  <si>
    <t>R= Fractil</t>
  </si>
  <si>
    <t>fracción</t>
  </si>
  <si>
    <t>media</t>
  </si>
  <si>
    <t>mediana</t>
  </si>
  <si>
    <t>ds</t>
  </si>
  <si>
    <t>var</t>
  </si>
  <si>
    <t>c.v.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</si>
</sst>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rgb="FF993366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3" fillId="3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/>
    <xf numFmtId="0" fontId="4" fillId="4" borderId="0" xfId="0" applyFont="1" applyFill="1"/>
    <xf numFmtId="0" fontId="5" fillId="2" borderId="0" xfId="0" applyFont="1" applyFill="1"/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2</xdr:row>
          <xdr:rowOff>30480</xdr:rowOff>
        </xdr:from>
        <xdr:to>
          <xdr:col>10</xdr:col>
          <xdr:colOff>594360</xdr:colOff>
          <xdr:row>4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993366"/>
                  </a:solidFill>
                  <a:latin typeface="Calibri"/>
                  <a:ea typeface="Calibri"/>
                  <a:cs typeface="Calibri"/>
                </a:rPr>
                <a:t>Crear tabla de frecuencia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83820</xdr:rowOff>
        </xdr:from>
        <xdr:to>
          <xdr:col>19</xdr:col>
          <xdr:colOff>22860</xdr:colOff>
          <xdr:row>6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la fracción dado el fractil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16</xdr:row>
          <xdr:rowOff>144780</xdr:rowOff>
        </xdr:from>
        <xdr:to>
          <xdr:col>18</xdr:col>
          <xdr:colOff>746760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el fractil dando la fracción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FE1D-122A-477F-97CA-F4CE791EAB66}">
  <sheetPr codeName="Hoja1"/>
  <dimension ref="A1:S60"/>
  <sheetViews>
    <sheetView tabSelected="1" topLeftCell="A2" workbookViewId="0">
      <selection activeCell="F18" sqref="F18"/>
    </sheetView>
  </sheetViews>
  <sheetFormatPr baseColWidth="10" defaultColWidth="11.44140625" defaultRowHeight="14.4" x14ac:dyDescent="0.3"/>
  <cols>
    <col min="1" max="1" width="22.44140625" style="2" customWidth="1"/>
    <col min="2" max="4" width="11.44140625" style="1"/>
    <col min="5" max="13" width="11.44140625" style="3"/>
    <col min="14" max="16384" width="11.44140625" style="1"/>
  </cols>
  <sheetData>
    <row r="1" spans="1:19" x14ac:dyDescent="0.3">
      <c r="A1">
        <v>1</v>
      </c>
    </row>
    <row r="2" spans="1:19" x14ac:dyDescent="0.3">
      <c r="A2">
        <v>2</v>
      </c>
      <c r="C2" s="1" t="s">
        <v>0</v>
      </c>
    </row>
    <row r="3" spans="1:19" x14ac:dyDescent="0.3">
      <c r="A3">
        <v>3</v>
      </c>
      <c r="C3" s="1" t="s">
        <v>1</v>
      </c>
    </row>
    <row r="4" spans="1:19" x14ac:dyDescent="0.3">
      <c r="A4">
        <v>4</v>
      </c>
    </row>
    <row r="5" spans="1:19" x14ac:dyDescent="0.3">
      <c r="A5">
        <v>5</v>
      </c>
      <c r="C5" s="8" t="s">
        <v>2</v>
      </c>
      <c r="D5" s="8"/>
      <c r="E5" s="8"/>
      <c r="F5" s="8"/>
      <c r="G5" s="8"/>
    </row>
    <row r="6" spans="1:19" x14ac:dyDescent="0.3">
      <c r="A6">
        <v>6</v>
      </c>
      <c r="C6" s="9">
        <v>2</v>
      </c>
      <c r="D6" s="9"/>
      <c r="E6" s="9"/>
      <c r="F6" s="9"/>
      <c r="G6" s="9"/>
    </row>
    <row r="7" spans="1:19" x14ac:dyDescent="0.3">
      <c r="A7">
        <v>7</v>
      </c>
      <c r="P7" s="6"/>
      <c r="Q7" s="6"/>
      <c r="R7" s="6"/>
    </row>
    <row r="8" spans="1:19" x14ac:dyDescent="0.3">
      <c r="A8">
        <v>8</v>
      </c>
      <c r="P8" s="6"/>
      <c r="Q8" s="6"/>
      <c r="R8" s="6"/>
    </row>
    <row r="9" spans="1:19" x14ac:dyDescent="0.3">
      <c r="A9">
        <v>9</v>
      </c>
      <c r="E9" s="10" t="s">
        <v>3</v>
      </c>
      <c r="F9" s="10"/>
      <c r="G9" s="3" t="s">
        <v>4</v>
      </c>
      <c r="H9" s="3" t="s">
        <v>5</v>
      </c>
      <c r="I9" s="3" t="s">
        <v>6</v>
      </c>
      <c r="J9" s="3" t="s">
        <v>7</v>
      </c>
      <c r="M9" s="3" t="s">
        <v>8</v>
      </c>
      <c r="N9" s="1" t="s">
        <v>9</v>
      </c>
      <c r="O9" s="4">
        <v>185.7</v>
      </c>
      <c r="P9" s="6"/>
      <c r="Q9" s="6"/>
      <c r="R9" s="6"/>
    </row>
    <row r="10" spans="1:19" x14ac:dyDescent="0.3">
      <c r="A10">
        <v>10</v>
      </c>
      <c r="B10" s="1" t="s">
        <v>10</v>
      </c>
      <c r="C10" s="1">
        <v>9</v>
      </c>
      <c r="E10" s="3">
        <v>0.995</v>
      </c>
      <c r="F10" s="3">
        <v>2.2821428571428575</v>
      </c>
      <c r="G10" s="3">
        <v>1.6385714285714288</v>
      </c>
      <c r="H10" s="3">
        <v>5</v>
      </c>
      <c r="I10" s="3">
        <v>8.3333333333333329E-2</v>
      </c>
      <c r="J10" s="3">
        <v>8.3333333333333329E-2</v>
      </c>
      <c r="M10" s="7" t="s">
        <v>11</v>
      </c>
      <c r="O10" s="5">
        <v>0.63465149359886164</v>
      </c>
      <c r="P10" s="5">
        <f>O10*100</f>
        <v>63.465149359886162</v>
      </c>
      <c r="Q10" s="6" t="s">
        <v>12</v>
      </c>
      <c r="R10" s="6" t="s">
        <v>13</v>
      </c>
      <c r="S10" s="1">
        <v>18</v>
      </c>
    </row>
    <row r="11" spans="1:19" x14ac:dyDescent="0.3">
      <c r="A11">
        <v>1.4</v>
      </c>
      <c r="B11" s="1" t="s">
        <v>14</v>
      </c>
      <c r="C11" s="1">
        <v>1</v>
      </c>
      <c r="E11" s="3">
        <v>2.2821428571428575</v>
      </c>
      <c r="F11" s="3">
        <v>3.5692857142857148</v>
      </c>
      <c r="G11" s="3">
        <v>2.9257142857142862</v>
      </c>
      <c r="H11" s="3">
        <v>7</v>
      </c>
      <c r="I11" s="3">
        <v>0.11666666666666667</v>
      </c>
      <c r="J11" s="3">
        <v>0.2</v>
      </c>
      <c r="O11" s="6"/>
      <c r="P11" s="6"/>
      <c r="Q11" s="6"/>
      <c r="R11" s="6" t="s">
        <v>15</v>
      </c>
      <c r="S11" s="1">
        <v>4.625</v>
      </c>
    </row>
    <row r="12" spans="1:19" x14ac:dyDescent="0.3">
      <c r="A12">
        <v>1.48</v>
      </c>
      <c r="B12" s="1" t="s">
        <v>16</v>
      </c>
      <c r="C12" s="1">
        <v>10</v>
      </c>
      <c r="E12" s="3">
        <v>3.5692857142857148</v>
      </c>
      <c r="F12" s="3">
        <v>4.8564285714285722</v>
      </c>
      <c r="G12" s="3">
        <v>4.2128571428571435</v>
      </c>
      <c r="H12" s="3">
        <v>6</v>
      </c>
      <c r="I12" s="3">
        <v>0.1</v>
      </c>
      <c r="J12" s="3">
        <v>0.30000000000000004</v>
      </c>
      <c r="O12" s="6"/>
      <c r="P12" s="6"/>
      <c r="Q12" s="6"/>
      <c r="R12" s="6" t="s">
        <v>17</v>
      </c>
      <c r="S12" s="1">
        <v>185.625</v>
      </c>
    </row>
    <row r="13" spans="1:19" x14ac:dyDescent="0.3">
      <c r="A13">
        <v>2.4900000000000002</v>
      </c>
      <c r="B13" s="1" t="s">
        <v>18</v>
      </c>
      <c r="C13" s="1">
        <v>60</v>
      </c>
      <c r="E13" s="3">
        <v>4.8564285714285722</v>
      </c>
      <c r="F13" s="3">
        <v>6.1435714285714296</v>
      </c>
      <c r="G13" s="3">
        <v>5.5000000000000009</v>
      </c>
      <c r="H13" s="3">
        <v>11</v>
      </c>
      <c r="I13" s="3">
        <v>0.18333333333333332</v>
      </c>
      <c r="J13" s="3">
        <v>0.48333333333333339</v>
      </c>
      <c r="O13" s="6"/>
      <c r="P13" s="6"/>
      <c r="Q13" s="6"/>
      <c r="R13" s="6" t="s">
        <v>19</v>
      </c>
      <c r="S13" s="1">
        <v>95</v>
      </c>
    </row>
    <row r="14" spans="1:19" x14ac:dyDescent="0.3">
      <c r="A14">
        <v>3.5</v>
      </c>
      <c r="B14" s="1" t="s">
        <v>20</v>
      </c>
      <c r="C14" s="1">
        <v>0.995</v>
      </c>
      <c r="E14" s="3">
        <v>6.1435714285714296</v>
      </c>
      <c r="F14" s="3">
        <v>7.4307142857142869</v>
      </c>
      <c r="G14" s="3">
        <v>6.7871428571428583</v>
      </c>
      <c r="H14" s="3">
        <v>11</v>
      </c>
      <c r="I14" s="3">
        <v>0.18333333333333332</v>
      </c>
      <c r="J14" s="3">
        <v>0.66666666666666674</v>
      </c>
      <c r="O14" s="6"/>
      <c r="P14" s="6"/>
      <c r="Q14" s="6"/>
      <c r="R14" s="6" t="s">
        <v>21</v>
      </c>
      <c r="S14" s="1">
        <v>60</v>
      </c>
    </row>
    <row r="15" spans="1:19" x14ac:dyDescent="0.3">
      <c r="A15">
        <v>5.5</v>
      </c>
      <c r="B15" s="1" t="s">
        <v>22</v>
      </c>
      <c r="C15" s="1">
        <v>10.005000000000001</v>
      </c>
      <c r="E15" s="3">
        <v>7.4307142857142869</v>
      </c>
      <c r="F15" s="3">
        <v>8.7178571428571452</v>
      </c>
      <c r="G15" s="3">
        <v>8.0742857142857165</v>
      </c>
      <c r="H15" s="3">
        <v>13</v>
      </c>
      <c r="I15" s="3">
        <v>0.21666666666666667</v>
      </c>
      <c r="J15" s="3">
        <v>0.88333333333333341</v>
      </c>
      <c r="P15" s="6"/>
      <c r="Q15" s="6"/>
      <c r="R15" s="6" t="s">
        <v>23</v>
      </c>
      <c r="S15" s="1">
        <v>185.7</v>
      </c>
    </row>
    <row r="16" spans="1:19" x14ac:dyDescent="0.3">
      <c r="A16">
        <v>6.4</v>
      </c>
      <c r="B16" s="1" t="s">
        <v>24</v>
      </c>
      <c r="C16" s="1">
        <v>7</v>
      </c>
      <c r="E16" s="3">
        <v>8.7178571428571452</v>
      </c>
      <c r="F16" s="3">
        <v>10.005000000000003</v>
      </c>
      <c r="G16" s="3">
        <v>9.3614285714285739</v>
      </c>
      <c r="H16" s="3">
        <v>7</v>
      </c>
      <c r="I16" s="3">
        <v>0.11666666666666667</v>
      </c>
      <c r="J16" s="3">
        <v>1</v>
      </c>
      <c r="P16" s="6"/>
      <c r="Q16" s="6"/>
      <c r="R16" s="6"/>
    </row>
    <row r="17" spans="1:19" x14ac:dyDescent="0.3">
      <c r="A17">
        <v>6.7</v>
      </c>
      <c r="B17" s="1" t="s">
        <v>25</v>
      </c>
      <c r="C17" s="1">
        <v>1.2871428571428574</v>
      </c>
      <c r="P17" s="6"/>
      <c r="Q17" s="6"/>
      <c r="R17" s="6"/>
    </row>
    <row r="18" spans="1:19" x14ac:dyDescent="0.3">
      <c r="A18">
        <v>6.9</v>
      </c>
      <c r="P18" s="6"/>
      <c r="Q18" s="6"/>
      <c r="R18" s="6"/>
    </row>
    <row r="19" spans="1:19" x14ac:dyDescent="0.3">
      <c r="A19">
        <v>9</v>
      </c>
    </row>
    <row r="20" spans="1:19" x14ac:dyDescent="0.3">
      <c r="A20">
        <v>8</v>
      </c>
      <c r="C20" s="1" t="s">
        <v>30</v>
      </c>
      <c r="D20" s="1">
        <f>AVERAGE($A$1:$A$60)</f>
        <v>5.9719999999999995</v>
      </c>
    </row>
    <row r="21" spans="1:19" x14ac:dyDescent="0.3">
      <c r="A21">
        <v>3</v>
      </c>
      <c r="C21" s="1" t="s">
        <v>31</v>
      </c>
      <c r="D21" s="1">
        <f>MEDIAN($A$1:$A$60)</f>
        <v>6.5500000000000007</v>
      </c>
    </row>
    <row r="22" spans="1:19" x14ac:dyDescent="0.3">
      <c r="A22">
        <v>4</v>
      </c>
      <c r="C22" s="1" t="s">
        <v>32</v>
      </c>
      <c r="D22" s="1">
        <f>_xlfn.STDEV.P($A$1:$A$60)</f>
        <v>2.3387530865826776</v>
      </c>
      <c r="M22" s="3" t="s">
        <v>26</v>
      </c>
      <c r="N22" s="1" t="s">
        <v>27</v>
      </c>
      <c r="O22" s="4">
        <v>0.5</v>
      </c>
    </row>
    <row r="23" spans="1:19" x14ac:dyDescent="0.3">
      <c r="A23">
        <v>5</v>
      </c>
      <c r="C23" s="1" t="s">
        <v>33</v>
      </c>
      <c r="D23" s="1">
        <f>_xlfn.VAR.P($A$1:$A$60)</f>
        <v>5.4697660000000017</v>
      </c>
      <c r="M23" s="7" t="s">
        <v>28</v>
      </c>
      <c r="O23" s="5">
        <v>4.7650000000000006</v>
      </c>
      <c r="R23" s="6" t="s">
        <v>13</v>
      </c>
      <c r="S23" s="1">
        <v>11</v>
      </c>
    </row>
    <row r="24" spans="1:19" x14ac:dyDescent="0.3">
      <c r="A24">
        <v>6</v>
      </c>
      <c r="C24" s="1" t="s">
        <v>34</v>
      </c>
      <c r="D24" s="1">
        <f>D22/D20</f>
        <v>0.39161973988323473</v>
      </c>
      <c r="R24" s="6" t="s">
        <v>15</v>
      </c>
      <c r="S24" s="1">
        <v>1.4300000000000002</v>
      </c>
    </row>
    <row r="25" spans="1:19" x14ac:dyDescent="0.3">
      <c r="A25">
        <v>7</v>
      </c>
      <c r="R25" s="6" t="s">
        <v>17</v>
      </c>
      <c r="S25" s="1">
        <v>3.8550000000000004</v>
      </c>
    </row>
    <row r="26" spans="1:19" x14ac:dyDescent="0.3">
      <c r="A26">
        <v>8</v>
      </c>
      <c r="R26" s="6" t="s">
        <v>19</v>
      </c>
      <c r="S26" s="1">
        <v>60</v>
      </c>
    </row>
    <row r="27" spans="1:19" x14ac:dyDescent="0.3">
      <c r="A27">
        <v>5</v>
      </c>
      <c r="R27" s="6" t="s">
        <v>21</v>
      </c>
      <c r="S27" s="1">
        <v>23</v>
      </c>
    </row>
    <row r="28" spans="1:19" x14ac:dyDescent="0.3">
      <c r="A28">
        <v>4</v>
      </c>
      <c r="R28" s="6" t="s">
        <v>29</v>
      </c>
      <c r="S28" s="1">
        <v>0.5</v>
      </c>
    </row>
    <row r="29" spans="1:19" x14ac:dyDescent="0.3">
      <c r="A29">
        <v>3</v>
      </c>
    </row>
    <row r="30" spans="1:19" x14ac:dyDescent="0.3">
      <c r="A30">
        <v>2</v>
      </c>
    </row>
    <row r="31" spans="1:19" x14ac:dyDescent="0.3">
      <c r="A31">
        <v>3.4</v>
      </c>
    </row>
    <row r="32" spans="1:19" x14ac:dyDescent="0.3">
      <c r="A32">
        <v>7.7</v>
      </c>
    </row>
    <row r="33" spans="1:1" x14ac:dyDescent="0.3">
      <c r="A33">
        <v>6.95</v>
      </c>
    </row>
    <row r="34" spans="1:1" x14ac:dyDescent="0.3">
      <c r="A34">
        <v>4</v>
      </c>
    </row>
    <row r="35" spans="1:1" x14ac:dyDescent="0.3">
      <c r="A35">
        <v>5</v>
      </c>
    </row>
    <row r="36" spans="1:1" x14ac:dyDescent="0.3">
      <c r="A36">
        <v>7</v>
      </c>
    </row>
    <row r="37" spans="1:1" x14ac:dyDescent="0.3">
      <c r="A37">
        <v>8</v>
      </c>
    </row>
    <row r="38" spans="1:1" x14ac:dyDescent="0.3">
      <c r="A38">
        <v>8.5</v>
      </c>
    </row>
    <row r="39" spans="1:1" x14ac:dyDescent="0.3">
      <c r="A39">
        <v>4.4000000000000004</v>
      </c>
    </row>
    <row r="40" spans="1:1" x14ac:dyDescent="0.3">
      <c r="A40">
        <v>5</v>
      </c>
    </row>
    <row r="41" spans="1:1" x14ac:dyDescent="0.3">
      <c r="A41">
        <v>7</v>
      </c>
    </row>
    <row r="42" spans="1:1" x14ac:dyDescent="0.3">
      <c r="A42">
        <v>8</v>
      </c>
    </row>
    <row r="43" spans="1:1" x14ac:dyDescent="0.3">
      <c r="A43">
        <v>9</v>
      </c>
    </row>
    <row r="44" spans="1:1" x14ac:dyDescent="0.3">
      <c r="A44">
        <v>10</v>
      </c>
    </row>
    <row r="45" spans="1:1" x14ac:dyDescent="0.3">
      <c r="A45">
        <v>9</v>
      </c>
    </row>
    <row r="46" spans="1:1" x14ac:dyDescent="0.3">
      <c r="A46">
        <v>9</v>
      </c>
    </row>
    <row r="47" spans="1:1" x14ac:dyDescent="0.3">
      <c r="A47">
        <v>8</v>
      </c>
    </row>
    <row r="48" spans="1:1" x14ac:dyDescent="0.3">
      <c r="A48">
        <v>8</v>
      </c>
    </row>
    <row r="49" spans="1:1" x14ac:dyDescent="0.3">
      <c r="A49">
        <v>7</v>
      </c>
    </row>
    <row r="50" spans="1:1" x14ac:dyDescent="0.3">
      <c r="A50">
        <v>8</v>
      </c>
    </row>
    <row r="51" spans="1:1" x14ac:dyDescent="0.3">
      <c r="A51">
        <v>8</v>
      </c>
    </row>
    <row r="52" spans="1:1" x14ac:dyDescent="0.3">
      <c r="A52">
        <v>8</v>
      </c>
    </row>
    <row r="53" spans="1:1" x14ac:dyDescent="0.3">
      <c r="A53">
        <v>7</v>
      </c>
    </row>
    <row r="54" spans="1:1" x14ac:dyDescent="0.3">
      <c r="A54">
        <v>6</v>
      </c>
    </row>
    <row r="55" spans="1:1" x14ac:dyDescent="0.3">
      <c r="A55">
        <v>5</v>
      </c>
    </row>
    <row r="56" spans="1:1" x14ac:dyDescent="0.3">
      <c r="A56">
        <v>4</v>
      </c>
    </row>
    <row r="57" spans="1:1" x14ac:dyDescent="0.3">
      <c r="A57">
        <v>3</v>
      </c>
    </row>
    <row r="58" spans="1:1" x14ac:dyDescent="0.3">
      <c r="A58">
        <v>6</v>
      </c>
    </row>
    <row r="59" spans="1:1" x14ac:dyDescent="0.3">
      <c r="A59">
        <v>7</v>
      </c>
    </row>
    <row r="60" spans="1:1" x14ac:dyDescent="0.3">
      <c r="A60">
        <v>8</v>
      </c>
    </row>
  </sheetData>
  <mergeCells count="3">
    <mergeCell ref="C5:G5"/>
    <mergeCell ref="C6:G6"/>
    <mergeCell ref="E9:F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7</xdr:col>
                    <xdr:colOff>708660</xdr:colOff>
                    <xdr:row>2</xdr:row>
                    <xdr:rowOff>30480</xdr:rowOff>
                  </from>
                  <to>
                    <xdr:col>10</xdr:col>
                    <xdr:colOff>594360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>
                <anchor moveWithCells="1" sizeWithCells="1">
                  <from>
                    <xdr:col>11</xdr:col>
                    <xdr:colOff>693420</xdr:colOff>
                    <xdr:row>3</xdr:row>
                    <xdr:rowOff>83820</xdr:rowOff>
                  </from>
                  <to>
                    <xdr:col>19</xdr:col>
                    <xdr:colOff>22860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ón4_Haga_clic_en">
                <anchor moveWithCells="1" sizeWithCells="1">
                  <from>
                    <xdr:col>12</xdr:col>
                    <xdr:colOff>60960</xdr:colOff>
                    <xdr:row>16</xdr:row>
                    <xdr:rowOff>144780</xdr:rowOff>
                  </from>
                  <to>
                    <xdr:col>18</xdr:col>
                    <xdr:colOff>746760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enrique buendia</dc:creator>
  <cp:keywords/>
  <dc:description/>
  <cp:lastModifiedBy>enrique buendia</cp:lastModifiedBy>
  <cp:revision/>
  <dcterms:created xsi:type="dcterms:W3CDTF">2020-06-30T22:17:31Z</dcterms:created>
  <dcterms:modified xsi:type="dcterms:W3CDTF">2024-10-02T18:48:49Z</dcterms:modified>
  <cp:category/>
  <cp:contentStatus/>
</cp:coreProperties>
</file>